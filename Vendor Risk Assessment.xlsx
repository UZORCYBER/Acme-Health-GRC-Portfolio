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is\Desktop\"/>
    </mc:Choice>
  </mc:AlternateContent>
  <xr:revisionPtr revIDLastSave="0" documentId="13_ncr:1_{C75B61AE-113C-4077-A7A5-9B08EDA6CC36}" xr6:coauthVersionLast="47" xr6:coauthVersionMax="47" xr10:uidLastSave="{00000000-0000-0000-0000-000000000000}"/>
  <bookViews>
    <workbookView xWindow="24090" yWindow="1605" windowWidth="12960" windowHeight="14520" firstSheet="2" activeTab="3" xr2:uid="{33A5D18B-12DE-40FC-B9F8-53965045F1CC}"/>
  </bookViews>
  <sheets>
    <sheet name="Vendor Inventory" sheetId="1" r:id="rId1"/>
    <sheet name="Vendor Assessment" sheetId="2" r:id="rId2"/>
    <sheet name="Vendor Risk Register" sheetId="3" r:id="rId3"/>
    <sheet name="Vendor 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J2" i="2"/>
</calcChain>
</file>

<file path=xl/sharedStrings.xml><?xml version="1.0" encoding="utf-8"?>
<sst xmlns="http://schemas.openxmlformats.org/spreadsheetml/2006/main" count="235" uniqueCount="114">
  <si>
    <t>Vendor ID</t>
  </si>
  <si>
    <t>Vendor Name</t>
  </si>
  <si>
    <t>Service</t>
  </si>
  <si>
    <t>Vendor Type</t>
  </si>
  <si>
    <t>Data Access</t>
  </si>
  <si>
    <t>Criticality</t>
  </si>
  <si>
    <t>Risk Tier</t>
  </si>
  <si>
    <t>Business Owner</t>
  </si>
  <si>
    <t>Assessment Status</t>
  </si>
  <si>
    <t>Notes</t>
  </si>
  <si>
    <t>V-001</t>
  </si>
  <si>
    <t>AWS</t>
  </si>
  <si>
    <t>Cloud Infrastructure</t>
  </si>
  <si>
    <t>Cloud Provider</t>
  </si>
  <si>
    <t>PHI</t>
  </si>
  <si>
    <t>Critical</t>
  </si>
  <si>
    <t>High</t>
  </si>
  <si>
    <t>Cloud Security Lead</t>
  </si>
  <si>
    <t>Not Assessed</t>
  </si>
  <si>
    <t>Hosts production systems</t>
  </si>
  <si>
    <t>V-002</t>
  </si>
  <si>
    <t>Microsoft 365</t>
  </si>
  <si>
    <t>Productivity &amp; Email</t>
  </si>
  <si>
    <t>SaaS</t>
  </si>
  <si>
    <t>PII</t>
  </si>
  <si>
    <t>IT Manager</t>
  </si>
  <si>
    <t>Email and collaboration</t>
  </si>
  <si>
    <t>V-003</t>
  </si>
  <si>
    <t>Health Analytics Vendor</t>
  </si>
  <si>
    <t>Data Analytics</t>
  </si>
  <si>
    <t>Data Analytics Manager</t>
  </si>
  <si>
    <t>Processes patient data</t>
  </si>
  <si>
    <t>V-004</t>
  </si>
  <si>
    <t>HR Platform</t>
  </si>
  <si>
    <t>Human Resources</t>
  </si>
  <si>
    <t>Confidential</t>
  </si>
  <si>
    <t>Medium</t>
  </si>
  <si>
    <t>HR Director</t>
  </si>
  <si>
    <t>Employee records</t>
  </si>
  <si>
    <t>V-005</t>
  </si>
  <si>
    <t>Payroll Provider</t>
  </si>
  <si>
    <t>Payroll Processing</t>
  </si>
  <si>
    <t>Financial</t>
  </si>
  <si>
    <t>Finance Manager</t>
  </si>
  <si>
    <t>Payroll information</t>
  </si>
  <si>
    <t>V-006</t>
  </si>
  <si>
    <t>Security Monitoring Provider</t>
  </si>
  <si>
    <t>Managed Security</t>
  </si>
  <si>
    <t>MSSP</t>
  </si>
  <si>
    <t>Security Logs</t>
  </si>
  <si>
    <t>Security Manager</t>
  </si>
  <si>
    <t>Security monitoring</t>
  </si>
  <si>
    <t>V-007</t>
  </si>
  <si>
    <t>Office Supply Vendor</t>
  </si>
  <si>
    <t>Office Supplies</t>
  </si>
  <si>
    <t>Supplier</t>
  </si>
  <si>
    <t>None</t>
  </si>
  <si>
    <t>Low</t>
  </si>
  <si>
    <t>Operations Manager</t>
  </si>
  <si>
    <t>No sensitive data access</t>
  </si>
  <si>
    <t>V-008</t>
  </si>
  <si>
    <t>Backup Provider</t>
  </si>
  <si>
    <t>Backup Services</t>
  </si>
  <si>
    <t>Infrastructure Manager</t>
  </si>
  <si>
    <t>Disaster recovery</t>
  </si>
  <si>
    <t>Security Questionnaire</t>
  </si>
  <si>
    <t>SOC 2 Report</t>
  </si>
  <si>
    <t>ISO 27001 Certification</t>
  </si>
  <si>
    <t>Encryption</t>
  </si>
  <si>
    <t>MFA</t>
  </si>
  <si>
    <t>Incident Response</t>
  </si>
  <si>
    <t>Data Retention</t>
  </si>
  <si>
    <t>Business Continuity</t>
  </si>
  <si>
    <t>Yes</t>
  </si>
  <si>
    <t>No</t>
  </si>
  <si>
    <t>N/A</t>
  </si>
  <si>
    <t>Risk ID</t>
  </si>
  <si>
    <t>Vendor</t>
  </si>
  <si>
    <t>Risk</t>
  </si>
  <si>
    <t>Impact</t>
  </si>
  <si>
    <t>Likelihood</t>
  </si>
  <si>
    <t>Risk Score</t>
  </si>
  <si>
    <t>Risk Level</t>
  </si>
  <si>
    <t>Mitigation</t>
  </si>
  <si>
    <t>Owner</t>
  </si>
  <si>
    <t>Status</t>
  </si>
  <si>
    <t>VR-001</t>
  </si>
  <si>
    <t>PHI exposure</t>
  </si>
  <si>
    <t>Enhanced vendor assessment and contractual security requirements</t>
  </si>
  <si>
    <t>Open</t>
  </si>
  <si>
    <t>VR-002</t>
  </si>
  <si>
    <t>Cloud service disruption</t>
  </si>
  <si>
    <t>Validate business continuity and recovery capabilities</t>
  </si>
  <si>
    <t>VR-003</t>
  </si>
  <si>
    <t>Account compromise</t>
  </si>
  <si>
    <t>MFA, monitoring, and access reviews</t>
  </si>
  <si>
    <t>In Progress</t>
  </si>
  <si>
    <t>VR-004</t>
  </si>
  <si>
    <t>Backup failure</t>
  </si>
  <si>
    <t>Quarterly recovery testing</t>
  </si>
  <si>
    <t>VR-005</t>
  </si>
  <si>
    <t>Unauthorized employee-data access</t>
  </si>
  <si>
    <t>Access reviews and vendor assessment</t>
  </si>
  <si>
    <t>Metric</t>
  </si>
  <si>
    <t>Value</t>
  </si>
  <si>
    <t>Total Vendors</t>
  </si>
  <si>
    <t>High-Risk Vendors</t>
  </si>
  <si>
    <t>Medium-Risk Vendors</t>
  </si>
  <si>
    <t>Low-Risk Vendors</t>
  </si>
  <si>
    <t>Vendors Not Assessed</t>
  </si>
  <si>
    <t>Open Vendor Risks</t>
  </si>
  <si>
    <t>Vendor Risks In Progress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</si>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</sst>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ADEC64-3F85-4BF7-8051-4F7C92516703}" name="Table2" displayName="Table2" ref="A1:J9" totalsRowShown="0" headerRowDxfId="24" dataDxfId="25">
  <autoFilter ref="A1:J9" xr:uid="{C7ADEC64-3F85-4BF7-8051-4F7C92516703}"/>
  <tableColumns count="10">
    <tableColumn id="1" xr3:uid="{160372D7-AC0D-4F1F-95A2-571EE06AE477}" name="Vendor ID" dataDxfId="35"/>
    <tableColumn id="2" xr3:uid="{89C4553B-8AAE-41F5-9840-51BFB9B2B084}" name="Vendor Name" dataDxfId="34"/>
    <tableColumn id="3" xr3:uid="{04966762-4E72-448F-AE9F-2C46FF84490B}" name="Service" dataDxfId="33"/>
    <tableColumn id="4" xr3:uid="{AA9A0780-4500-483D-B996-D01AF7F7E0D2}" name="Vendor Type" dataDxfId="32"/>
    <tableColumn id="5" xr3:uid="{D7574FE5-78C5-49A7-A095-EB577327EA19}" name="Data Access" dataDxfId="31"/>
    <tableColumn id="6" xr3:uid="{F8E658B5-A589-4532-B254-EFA624F02A69}" name="Criticality" dataDxfId="30"/>
    <tableColumn id="7" xr3:uid="{5F79D991-D6B6-4DE0-A70F-6A2FF8ED8D40}" name="Risk Tier" dataDxfId="29"/>
    <tableColumn id="8" xr3:uid="{A933A411-CEC1-4C53-9661-A4041E24A645}" name="Business Owner" dataDxfId="28"/>
    <tableColumn id="9" xr3:uid="{5F80215C-E64E-43BE-A04D-3D5F62D45435}" name="Assessment Status" dataDxfId="27"/>
    <tableColumn id="10" xr3:uid="{755881AC-95CB-45E1-A569-24D9537F44DD}" name="Notes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582F2-A505-45A2-B776-1B50136D3D64}" name="Table3" displayName="Table3" ref="A1:K9" totalsRowShown="0" headerRowDxfId="12" dataDxfId="13">
  <autoFilter ref="A1:K9" xr:uid="{DC5582F2-A505-45A2-B776-1B50136D3D64}"/>
  <tableColumns count="11">
    <tableColumn id="1" xr3:uid="{1BBBD1E5-CCB7-4FB4-9AD9-5716A1BD1E23}" name="Vendor ID" dataDxfId="23"/>
    <tableColumn id="2" xr3:uid="{E64ADA62-7D9D-4F90-ABB1-01381E38A34C}" name="Security Questionnaire" dataDxfId="22"/>
    <tableColumn id="3" xr3:uid="{E9E9B1BF-C1F0-4C10-B133-F555820F9FA1}" name="SOC 2 Report" dataDxfId="21"/>
    <tableColumn id="4" xr3:uid="{30EF1348-ADAF-4F40-91C1-78EFF9A6FE8D}" name="ISO 27001 Certification" dataDxfId="20"/>
    <tableColumn id="5" xr3:uid="{6C2E4321-5592-4A67-A532-428FB4E582B6}" name="Encryption" dataDxfId="19"/>
    <tableColumn id="6" xr3:uid="{F88819BE-1A4F-4E81-86F0-B184FCD42F36}" name="MFA" dataDxfId="18"/>
    <tableColumn id="7" xr3:uid="{C93D222E-9F7B-4480-92D2-70E69E3B81B2}" name="Incident Response" dataDxfId="17"/>
    <tableColumn id="8" xr3:uid="{05DB9C44-48AA-4B42-BF4E-56572E0CBCBC}" name="Data Retention" dataDxfId="16"/>
    <tableColumn id="9" xr3:uid="{36907294-5DC0-4D11-ACA0-57043107EC9E}" name="Business Continuity" dataDxfId="15"/>
    <tableColumn id="10" xr3:uid="{474B04FA-2D4C-43BB-BB5F-EA11A6E16B7A}" name="Column1"/>
    <tableColumn id="11" xr3:uid="{E69B6B46-62DF-4FEB-9D04-2A5C7666DB27}" name="Column2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9D1B80-B340-4F8C-A91D-C2952243CB10}" name="Table4" displayName="Table4" ref="A1:J6" totalsRowShown="0" headerRowDxfId="0" dataDxfId="1">
  <autoFilter ref="A1:J6" xr:uid="{499D1B80-B340-4F8C-A91D-C2952243CB10}"/>
  <tableColumns count="10">
    <tableColumn id="1" xr3:uid="{FFF57808-984B-4744-B5DD-07E3BEA75171}" name="Risk ID" dataDxfId="11"/>
    <tableColumn id="2" xr3:uid="{23434534-03DD-4944-B1E2-6A188B1CAEB2}" name="Vendor" dataDxfId="10"/>
    <tableColumn id="3" xr3:uid="{68167BF6-9136-4F99-9083-3B085D519315}" name="Risk" dataDxfId="9"/>
    <tableColumn id="4" xr3:uid="{767E2F05-45DC-417B-B98B-908776F77F0C}" name="Impact" dataDxfId="8"/>
    <tableColumn id="5" xr3:uid="{339B2FA6-C502-4E4F-B246-93FE1B179058}" name="Likelihood" dataDxfId="7"/>
    <tableColumn id="6" xr3:uid="{1BF24DC8-2830-4CCE-B694-87776C648B9D}" name="Risk Score" dataDxfId="6"/>
    <tableColumn id="7" xr3:uid="{9B39851C-7160-4F0E-B380-0F4EC13953A4}" name="Risk Level" dataDxfId="5"/>
    <tableColumn id="8" xr3:uid="{8DC6EF10-EAB6-4080-8AEE-4277DE13BA95}" name="Mitigation" dataDxfId="4"/>
    <tableColumn id="9" xr3:uid="{136F2BA5-5769-44B3-92D4-1574197144EC}" name="Owner" dataDxfId="3"/>
    <tableColumn id="10" xr3:uid="{BD78AC5B-1B29-42A5-A640-8122FC80417A}" name="Status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9B057-AC77-48C5-9CE5-01CF4CF6FEA9}" name="Table1" displayName="Table1" ref="H6:H7" insertRow="1" totalsRowShown="0">
  <autoFilter ref="H6:H7" xr:uid="{D8F9B057-AC77-48C5-9CE5-01CF4CF6FEA9}"/>
  <tableColumns count="1">
    <tableColumn id="1" xr3:uid="{9D59DB56-9C4E-46B7-9D4A-A0E7DAB61E7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DA4E-4654-4965-92E9-8B42C539E5DD}">
  <dimension ref="A1:J9"/>
  <sheetViews>
    <sheetView workbookViewId="0">
      <selection sqref="A1:J9"/>
    </sheetView>
  </sheetViews>
  <sheetFormatPr defaultRowHeight="15" x14ac:dyDescent="0.25"/>
  <cols>
    <col min="1" max="1" width="12" customWidth="1"/>
    <col min="2" max="2" width="15.28515625" customWidth="1"/>
    <col min="3" max="3" width="9.85546875" customWidth="1"/>
    <col min="4" max="4" width="14.28515625" customWidth="1"/>
    <col min="5" max="5" width="14" customWidth="1"/>
    <col min="6" max="6" width="12" customWidth="1"/>
    <col min="7" max="7" width="10.85546875" customWidth="1"/>
    <col min="8" max="8" width="17.5703125" customWidth="1"/>
    <col min="9" max="9" width="20.28515625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6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16</v>
      </c>
      <c r="G3" s="2" t="s">
        <v>16</v>
      </c>
      <c r="H3" s="2" t="s">
        <v>25</v>
      </c>
      <c r="I3" s="2" t="s">
        <v>18</v>
      </c>
      <c r="J3" s="2" t="s">
        <v>26</v>
      </c>
    </row>
    <row r="4" spans="1:10" ht="45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14</v>
      </c>
      <c r="F4" s="2" t="s">
        <v>15</v>
      </c>
      <c r="G4" s="2" t="s">
        <v>16</v>
      </c>
      <c r="H4" s="2" t="s">
        <v>30</v>
      </c>
      <c r="I4" s="2" t="s">
        <v>18</v>
      </c>
      <c r="J4" s="2" t="s">
        <v>31</v>
      </c>
    </row>
    <row r="5" spans="1:10" ht="45" x14ac:dyDescent="0.2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16</v>
      </c>
      <c r="G5" s="2" t="s">
        <v>36</v>
      </c>
      <c r="H5" s="2" t="s">
        <v>37</v>
      </c>
      <c r="I5" s="2" t="s">
        <v>18</v>
      </c>
      <c r="J5" s="2" t="s">
        <v>38</v>
      </c>
    </row>
    <row r="6" spans="1:10" ht="45" x14ac:dyDescent="0.25">
      <c r="A6" s="2" t="s">
        <v>39</v>
      </c>
      <c r="B6" s="2" t="s">
        <v>40</v>
      </c>
      <c r="C6" s="2" t="s">
        <v>41</v>
      </c>
      <c r="D6" s="2" t="s">
        <v>23</v>
      </c>
      <c r="E6" s="2" t="s">
        <v>42</v>
      </c>
      <c r="F6" s="2" t="s">
        <v>16</v>
      </c>
      <c r="G6" s="2" t="s">
        <v>36</v>
      </c>
      <c r="H6" s="2" t="s">
        <v>43</v>
      </c>
      <c r="I6" s="2" t="s">
        <v>18</v>
      </c>
      <c r="J6" s="2" t="s">
        <v>44</v>
      </c>
    </row>
    <row r="7" spans="1:10" ht="60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15</v>
      </c>
      <c r="G7" s="2" t="s">
        <v>16</v>
      </c>
      <c r="H7" s="2" t="s">
        <v>50</v>
      </c>
      <c r="I7" s="2" t="s">
        <v>18</v>
      </c>
      <c r="J7" s="2" t="s">
        <v>51</v>
      </c>
    </row>
    <row r="8" spans="1:10" ht="60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57</v>
      </c>
      <c r="H8" s="2" t="s">
        <v>58</v>
      </c>
      <c r="I8" s="2" t="s">
        <v>18</v>
      </c>
      <c r="J8" s="2" t="s">
        <v>59</v>
      </c>
    </row>
    <row r="9" spans="1:10" ht="45" x14ac:dyDescent="0.25">
      <c r="A9" s="2" t="s">
        <v>60</v>
      </c>
      <c r="B9" s="2" t="s">
        <v>61</v>
      </c>
      <c r="C9" s="2" t="s">
        <v>62</v>
      </c>
      <c r="D9" s="2" t="s">
        <v>13</v>
      </c>
      <c r="E9" s="2" t="s">
        <v>35</v>
      </c>
      <c r="F9" s="2" t="s">
        <v>15</v>
      </c>
      <c r="G9" s="2" t="s">
        <v>16</v>
      </c>
      <c r="H9" s="2" t="s">
        <v>63</v>
      </c>
      <c r="I9" s="2" t="s">
        <v>18</v>
      </c>
      <c r="J9" s="2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C24A-C48B-4954-8330-1687B186320C}">
  <dimension ref="A1:K9"/>
  <sheetViews>
    <sheetView workbookViewId="0">
      <selection sqref="A1:K9"/>
    </sheetView>
  </sheetViews>
  <sheetFormatPr defaultRowHeight="15" x14ac:dyDescent="0.25"/>
  <cols>
    <col min="1" max="1" width="12" customWidth="1"/>
    <col min="2" max="2" width="23.85546875" customWidth="1"/>
    <col min="3" max="3" width="15.140625" customWidth="1"/>
    <col min="4" max="4" width="23.5703125" customWidth="1"/>
    <col min="5" max="5" width="12.85546875" customWidth="1"/>
    <col min="7" max="7" width="20" customWidth="1"/>
    <col min="8" max="8" width="16.7109375" customWidth="1"/>
    <col min="9" max="9" width="21.28515625" customWidth="1"/>
    <col min="10" max="11" width="11.28515625" customWidth="1"/>
  </cols>
  <sheetData>
    <row r="1" spans="1:11" ht="60" x14ac:dyDescent="0.2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t="s">
        <v>112</v>
      </c>
      <c r="K1" t="s">
        <v>113</v>
      </c>
    </row>
    <row r="2" spans="1:11" x14ac:dyDescent="0.25">
      <c r="A2" s="2" t="s">
        <v>10</v>
      </c>
      <c r="B2" s="2" t="s">
        <v>73</v>
      </c>
      <c r="C2" s="2" t="s">
        <v>73</v>
      </c>
      <c r="D2" s="2" t="s">
        <v>73</v>
      </c>
      <c r="E2" s="2" t="s">
        <v>73</v>
      </c>
      <c r="F2" s="2" t="s">
        <v>73</v>
      </c>
      <c r="G2" s="2" t="s">
        <v>73</v>
      </c>
      <c r="H2" s="2" t="s">
        <v>73</v>
      </c>
      <c r="I2" s="2" t="s">
        <v>73</v>
      </c>
      <c r="J2">
        <f>COUNTIF(B2:I2,"No")*2</f>
        <v>0</v>
      </c>
      <c r="K2" t="str">
        <f>IF(J2&gt;=8,"High",IF(J2&gt;=4,"Medium","Low"))</f>
        <v>Low</v>
      </c>
    </row>
    <row r="3" spans="1:11" x14ac:dyDescent="0.25">
      <c r="A3" s="2" t="s">
        <v>20</v>
      </c>
      <c r="B3" s="2" t="s">
        <v>73</v>
      </c>
      <c r="C3" s="2" t="s">
        <v>73</v>
      </c>
      <c r="D3" s="2" t="s">
        <v>73</v>
      </c>
      <c r="E3" s="2" t="s">
        <v>73</v>
      </c>
      <c r="F3" s="2" t="s">
        <v>73</v>
      </c>
      <c r="G3" s="2" t="s">
        <v>73</v>
      </c>
      <c r="H3" s="2" t="s">
        <v>73</v>
      </c>
      <c r="I3" s="2" t="s">
        <v>73</v>
      </c>
      <c r="K3" s="2" t="s">
        <v>57</v>
      </c>
    </row>
    <row r="4" spans="1:11" x14ac:dyDescent="0.25">
      <c r="A4" s="2" t="s">
        <v>27</v>
      </c>
      <c r="B4" s="2" t="s">
        <v>73</v>
      </c>
      <c r="C4" s="2" t="s">
        <v>74</v>
      </c>
      <c r="D4" s="2" t="s">
        <v>74</v>
      </c>
      <c r="E4" s="2" t="s">
        <v>73</v>
      </c>
      <c r="F4" s="2" t="s">
        <v>73</v>
      </c>
      <c r="G4" s="2" t="s">
        <v>73</v>
      </c>
      <c r="H4" s="2" t="s">
        <v>74</v>
      </c>
      <c r="I4" s="2" t="s">
        <v>73</v>
      </c>
      <c r="K4" s="2" t="s">
        <v>16</v>
      </c>
    </row>
    <row r="5" spans="1:11" x14ac:dyDescent="0.25">
      <c r="A5" s="2" t="s">
        <v>32</v>
      </c>
      <c r="B5" s="2" t="s">
        <v>73</v>
      </c>
      <c r="C5" s="2" t="s">
        <v>73</v>
      </c>
      <c r="D5" s="2" t="s">
        <v>74</v>
      </c>
      <c r="E5" s="2" t="s">
        <v>73</v>
      </c>
      <c r="F5" s="2" t="s">
        <v>73</v>
      </c>
      <c r="G5" s="2" t="s">
        <v>73</v>
      </c>
      <c r="H5" s="2" t="s">
        <v>73</v>
      </c>
      <c r="I5" s="2" t="s">
        <v>73</v>
      </c>
      <c r="K5" s="2" t="s">
        <v>16</v>
      </c>
    </row>
    <row r="6" spans="1:11" x14ac:dyDescent="0.25">
      <c r="A6" s="2" t="s">
        <v>39</v>
      </c>
      <c r="B6" s="2" t="s">
        <v>73</v>
      </c>
      <c r="C6" s="2" t="s">
        <v>73</v>
      </c>
      <c r="D6" s="2" t="s">
        <v>74</v>
      </c>
      <c r="E6" s="2" t="s">
        <v>73</v>
      </c>
      <c r="F6" s="2" t="s">
        <v>73</v>
      </c>
      <c r="G6" s="2" t="s">
        <v>73</v>
      </c>
      <c r="H6" s="2" t="s">
        <v>73</v>
      </c>
      <c r="I6" s="2" t="s">
        <v>73</v>
      </c>
      <c r="K6" s="2" t="s">
        <v>36</v>
      </c>
    </row>
    <row r="7" spans="1:11" x14ac:dyDescent="0.25">
      <c r="A7" s="2" t="s">
        <v>45</v>
      </c>
      <c r="B7" s="2" t="s">
        <v>73</v>
      </c>
      <c r="C7" s="2" t="s">
        <v>73</v>
      </c>
      <c r="D7" s="2" t="s">
        <v>73</v>
      </c>
      <c r="E7" s="2" t="s">
        <v>73</v>
      </c>
      <c r="F7" s="2" t="s">
        <v>73</v>
      </c>
      <c r="G7" s="2" t="s">
        <v>73</v>
      </c>
      <c r="H7" s="2" t="s">
        <v>73</v>
      </c>
      <c r="I7" s="2" t="s">
        <v>73</v>
      </c>
      <c r="K7" s="2" t="s">
        <v>57</v>
      </c>
    </row>
    <row r="8" spans="1:11" x14ac:dyDescent="0.25">
      <c r="A8" s="2" t="s">
        <v>52</v>
      </c>
      <c r="B8" s="2" t="s">
        <v>74</v>
      </c>
      <c r="C8" s="2" t="s">
        <v>74</v>
      </c>
      <c r="D8" s="2" t="s">
        <v>74</v>
      </c>
      <c r="E8" s="2" t="s">
        <v>75</v>
      </c>
      <c r="F8" s="2" t="s">
        <v>75</v>
      </c>
      <c r="G8" s="2" t="s">
        <v>74</v>
      </c>
      <c r="H8" s="2" t="s">
        <v>75</v>
      </c>
      <c r="I8" s="2" t="s">
        <v>74</v>
      </c>
      <c r="K8" s="2" t="s">
        <v>16</v>
      </c>
    </row>
    <row r="9" spans="1:11" x14ac:dyDescent="0.25">
      <c r="A9" s="2" t="s">
        <v>60</v>
      </c>
      <c r="B9" s="2" t="s">
        <v>73</v>
      </c>
      <c r="C9" s="2" t="s">
        <v>73</v>
      </c>
      <c r="D9" s="2" t="s">
        <v>73</v>
      </c>
      <c r="E9" s="2" t="s">
        <v>73</v>
      </c>
      <c r="F9" s="2" t="s">
        <v>73</v>
      </c>
      <c r="G9" s="2" t="s">
        <v>73</v>
      </c>
      <c r="H9" s="2" t="s">
        <v>73</v>
      </c>
      <c r="I9" s="2" t="s">
        <v>73</v>
      </c>
      <c r="K9" s="2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C788-F9E7-4EBB-880F-E1D9FDCAC71D}">
  <dimension ref="A1:J6"/>
  <sheetViews>
    <sheetView workbookViewId="0">
      <selection sqref="A1:J6"/>
    </sheetView>
  </sheetViews>
  <sheetFormatPr defaultRowHeight="15" x14ac:dyDescent="0.25"/>
  <cols>
    <col min="1" max="1" width="9.42578125" customWidth="1"/>
    <col min="2" max="2" width="9.5703125" customWidth="1"/>
    <col min="4" max="4" width="9.28515625" customWidth="1"/>
    <col min="5" max="6" width="12.5703125" customWidth="1"/>
    <col min="7" max="7" width="12.28515625" customWidth="1"/>
    <col min="8" max="8" width="12.140625" customWidth="1"/>
  </cols>
  <sheetData>
    <row r="1" spans="1:10" ht="30" x14ac:dyDescent="0.25">
      <c r="A1" s="1" t="s">
        <v>76</v>
      </c>
      <c r="B1" s="1" t="s">
        <v>77</v>
      </c>
      <c r="C1" s="1" t="s">
        <v>78</v>
      </c>
      <c r="D1" s="4" t="s">
        <v>79</v>
      </c>
      <c r="E1" s="4" t="s">
        <v>80</v>
      </c>
      <c r="F1" s="4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ht="135" x14ac:dyDescent="0.25">
      <c r="A2" s="2" t="s">
        <v>86</v>
      </c>
      <c r="B2" s="2" t="s">
        <v>28</v>
      </c>
      <c r="C2" s="2" t="s">
        <v>87</v>
      </c>
      <c r="D2" s="3">
        <v>5</v>
      </c>
      <c r="E2" s="3">
        <v>4</v>
      </c>
      <c r="F2" s="3">
        <v>20</v>
      </c>
      <c r="G2" s="2" t="s">
        <v>16</v>
      </c>
      <c r="H2" s="2" t="s">
        <v>88</v>
      </c>
      <c r="I2" s="2" t="s">
        <v>30</v>
      </c>
      <c r="J2" s="2" t="s">
        <v>89</v>
      </c>
    </row>
    <row r="3" spans="1:10" ht="105" x14ac:dyDescent="0.25">
      <c r="A3" s="2" t="s">
        <v>90</v>
      </c>
      <c r="B3" s="2" t="s">
        <v>11</v>
      </c>
      <c r="C3" s="2" t="s">
        <v>91</v>
      </c>
      <c r="D3" s="3">
        <v>5</v>
      </c>
      <c r="E3" s="3">
        <v>3</v>
      </c>
      <c r="F3" s="3">
        <v>15</v>
      </c>
      <c r="G3" s="2" t="s">
        <v>16</v>
      </c>
      <c r="H3" s="2" t="s">
        <v>92</v>
      </c>
      <c r="I3" s="2" t="s">
        <v>17</v>
      </c>
      <c r="J3" s="2" t="s">
        <v>89</v>
      </c>
    </row>
    <row r="4" spans="1:10" ht="75" x14ac:dyDescent="0.25">
      <c r="A4" s="2" t="s">
        <v>93</v>
      </c>
      <c r="B4" s="2" t="s">
        <v>21</v>
      </c>
      <c r="C4" s="2" t="s">
        <v>94</v>
      </c>
      <c r="D4" s="3">
        <v>5</v>
      </c>
      <c r="E4" s="3">
        <v>3</v>
      </c>
      <c r="F4" s="3">
        <v>15</v>
      </c>
      <c r="G4" s="2" t="s">
        <v>16</v>
      </c>
      <c r="H4" s="2" t="s">
        <v>95</v>
      </c>
      <c r="I4" s="2" t="s">
        <v>25</v>
      </c>
      <c r="J4" s="2" t="s">
        <v>96</v>
      </c>
    </row>
    <row r="5" spans="1:10" ht="45" x14ac:dyDescent="0.25">
      <c r="A5" s="2" t="s">
        <v>97</v>
      </c>
      <c r="B5" s="2" t="s">
        <v>61</v>
      </c>
      <c r="C5" s="2" t="s">
        <v>98</v>
      </c>
      <c r="D5" s="3">
        <v>5</v>
      </c>
      <c r="E5" s="3">
        <v>2</v>
      </c>
      <c r="F5" s="3">
        <v>10</v>
      </c>
      <c r="G5" s="2" t="s">
        <v>36</v>
      </c>
      <c r="H5" s="2" t="s">
        <v>99</v>
      </c>
      <c r="I5" s="2" t="s">
        <v>63</v>
      </c>
      <c r="J5" s="2" t="s">
        <v>89</v>
      </c>
    </row>
    <row r="6" spans="1:10" ht="90" x14ac:dyDescent="0.25">
      <c r="A6" s="2" t="s">
        <v>100</v>
      </c>
      <c r="B6" s="2" t="s">
        <v>33</v>
      </c>
      <c r="C6" s="2" t="s">
        <v>101</v>
      </c>
      <c r="D6" s="3">
        <v>4</v>
      </c>
      <c r="E6" s="3">
        <v>2</v>
      </c>
      <c r="F6" s="3">
        <v>8</v>
      </c>
      <c r="G6" s="2" t="s">
        <v>36</v>
      </c>
      <c r="H6" s="2" t="s">
        <v>102</v>
      </c>
      <c r="I6" s="2" t="s">
        <v>37</v>
      </c>
      <c r="J6" s="2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F762-B148-44D3-B8EA-A54380651CB3}">
  <dimension ref="A1:H8"/>
  <sheetViews>
    <sheetView tabSelected="1" workbookViewId="0">
      <selection activeCell="H6" sqref="H6"/>
    </sheetView>
  </sheetViews>
  <sheetFormatPr defaultRowHeight="15" x14ac:dyDescent="0.25"/>
  <cols>
    <col min="8" max="8" width="11.28515625" customWidth="1"/>
  </cols>
  <sheetData>
    <row r="1" spans="1:8" x14ac:dyDescent="0.25">
      <c r="A1" s="1" t="s">
        <v>103</v>
      </c>
      <c r="B1" s="4" t="s">
        <v>104</v>
      </c>
    </row>
    <row r="2" spans="1:8" ht="30" x14ac:dyDescent="0.25">
      <c r="A2" s="2" t="s">
        <v>105</v>
      </c>
      <c r="B2" s="3">
        <v>8</v>
      </c>
    </row>
    <row r="3" spans="1:8" ht="45" x14ac:dyDescent="0.25">
      <c r="A3" s="2" t="s">
        <v>106</v>
      </c>
      <c r="B3" s="3">
        <v>4</v>
      </c>
    </row>
    <row r="4" spans="1:8" ht="45" x14ac:dyDescent="0.25">
      <c r="A4" s="2" t="s">
        <v>107</v>
      </c>
      <c r="B4" s="3">
        <v>3</v>
      </c>
    </row>
    <row r="5" spans="1:8" ht="30" x14ac:dyDescent="0.25">
      <c r="A5" s="2" t="s">
        <v>108</v>
      </c>
      <c r="B5" s="3">
        <v>1</v>
      </c>
    </row>
    <row r="6" spans="1:8" ht="60" x14ac:dyDescent="0.25">
      <c r="A6" s="2" t="s">
        <v>109</v>
      </c>
      <c r="B6" s="3">
        <v>8</v>
      </c>
      <c r="H6" t="s">
        <v>112</v>
      </c>
    </row>
    <row r="7" spans="1:8" ht="45" x14ac:dyDescent="0.25">
      <c r="A7" s="2" t="s">
        <v>110</v>
      </c>
      <c r="B7" s="3">
        <v>5</v>
      </c>
    </row>
    <row r="8" spans="1:8" ht="45" x14ac:dyDescent="0.25">
      <c r="A8" s="2" t="s">
        <v>111</v>
      </c>
      <c r="B8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Inventory</vt:lpstr>
      <vt:lpstr>Vendor Assessment</vt:lpstr>
      <vt:lpstr>Vendor Risk Register</vt:lpstr>
      <vt:lpstr>Vendor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isolokwu</dc:creator>
  <cp:lastModifiedBy>obi isolokwu</cp:lastModifiedBy>
  <dcterms:created xsi:type="dcterms:W3CDTF">2026-09-13T19:15:09Z</dcterms:created>
  <dcterms:modified xsi:type="dcterms:W3CDTF">2026-09-13T19:46:51Z</dcterms:modified>
</cp:coreProperties>
</file>